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고정비설정" sheetId="1" state="visible" r:id="rId1"/>
    <sheet name="일일기록" sheetId="2" state="visible" r:id="rId2"/>
    <sheet name="월별손익" sheetId="3" state="visible" r:id="rId3"/>
    <sheet name="연도별수익률" sheetId="4" state="visible" r:id="rId4"/>
    <sheet name="사용안내" sheetId="5" state="visible" r:id="rId5"/>
  </sheets>
  <definedNames>
    <definedName name="_xlnm._FilterDatabase" localSheetId="1" hidden="1">'일일기록'!$A$1:$J$61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4E37"/>
      <sz val="14"/>
    </font>
    <font>
      <name val="Arial"/>
      <b val="1"/>
      <sz val="10"/>
    </font>
    <font>
      <name val="Arial"/>
      <b val="1"/>
      <color rgb="000000FF"/>
      <sz val="11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37"/>
        <bgColor rgb="001F4E3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0" borderId="1" pivotButton="0" quotePrefix="0" xfId="0"/>
    <xf numFmtId="3" fontId="7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2" fillId="4" borderId="1" pivotButton="0" quotePrefix="0" xfId="0"/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system</author>
  </authors>
  <commentList>
    <comment ref="D1" authorId="0" shapeId="0">
      <text>
        <t>자동: 고정비설정 시트의 기준단가 (필요시 이 칸만 직접 덮어써도 됨)</t>
      </text>
    </comment>
    <comment ref="E1" authorId="0" shapeId="0">
      <text>
        <t>자동 계산: 판수 × 단가</t>
      </text>
    </comment>
    <comment ref="F1" authorId="0" shapeId="0">
      <text>
        <t>지출 항목이 있는 행에만 유류비/정비비/기타 중 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</cols>
  <sheetData>
    <row r="1">
      <c r="A1" s="1" t="inlineStr">
        <is>
          <t>고정비 / 단가 설정</t>
        </is>
      </c>
    </row>
    <row r="3">
      <c r="A3" s="2" t="inlineStr">
        <is>
          <t>기준단가(원/판)</t>
        </is>
      </c>
      <c r="B3" s="3" t="n">
        <v>99</v>
      </c>
      <c r="C3" s="4" t="inlineStr">
        <is>
          <t>일일기록의 판수 × 이 단가 = 매출액. 단가가 바뀌면 여기만 수정하세요.</t>
        </is>
      </c>
    </row>
    <row r="4">
      <c r="A4" s="2" t="inlineStr">
        <is>
          <t>월 기사월급(원)</t>
        </is>
      </c>
      <c r="B4" s="3" t="n">
        <v>4000000</v>
      </c>
      <c r="C4" s="4" t="inlineStr">
        <is>
          <t>매달 고정으로 들어가는 기사 월급.</t>
        </is>
      </c>
    </row>
    <row r="5">
      <c r="A5" s="2" t="inlineStr">
        <is>
          <t>월 하이패스(원)</t>
        </is>
      </c>
      <c r="B5" s="3" t="n">
        <v>800000</v>
      </c>
      <c r="C5" s="4" t="inlineStr">
        <is>
          <t>매달 고정 통행료(하이패스 충전/정산액).</t>
        </is>
      </c>
    </row>
    <row r="6">
      <c r="A6" s="2" t="inlineStr">
        <is>
          <t>연 차량보험료(원)</t>
        </is>
      </c>
      <c r="B6" s="3" t="n">
        <v>3000000</v>
      </c>
      <c r="C6" s="4" t="inlineStr">
        <is>
          <t>1년에 한 번 내는 차량보험료.</t>
        </is>
      </c>
    </row>
    <row r="7">
      <c r="A7" s="2" t="inlineStr">
        <is>
          <t>차량보험 납부월(1~12)</t>
        </is>
      </c>
      <c r="B7" s="3" t="n">
        <v>1</v>
      </c>
      <c r="C7" s="4" t="inlineStr">
        <is>
          <t>보험료를 실제로 납부하는 달. 그 달에만 연 차량보험료가 반영됩니다.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8" customWidth="1" min="7" max="7"/>
    <col width="12" customWidth="1" min="8" max="8"/>
    <col width="10" customWidth="1" min="9" max="9"/>
    <col width="20" customWidth="1" min="10" max="10"/>
  </cols>
  <sheetData>
    <row r="1" ht="22" customHeight="1">
      <c r="A1" s="5" t="inlineStr">
        <is>
          <t>날짜</t>
        </is>
      </c>
      <c r="B1" s="5" t="inlineStr">
        <is>
          <t>농장</t>
        </is>
      </c>
      <c r="C1" s="5" t="inlineStr">
        <is>
          <t>판수</t>
        </is>
      </c>
      <c r="D1" s="5" t="inlineStr">
        <is>
          <t>단가</t>
        </is>
      </c>
      <c r="E1" s="5" t="inlineStr">
        <is>
          <t>매출액</t>
        </is>
      </c>
      <c r="F1" s="5" t="inlineStr">
        <is>
          <t>지출구분</t>
        </is>
      </c>
      <c r="G1" s="5" t="inlineStr">
        <is>
          <t>지출내용</t>
        </is>
      </c>
      <c r="H1" s="5" t="inlineStr">
        <is>
          <t>지출금액</t>
        </is>
      </c>
      <c r="I1" s="5" t="inlineStr">
        <is>
          <t>하이패스</t>
        </is>
      </c>
      <c r="J1" s="5" t="inlineStr">
        <is>
          <t>비고</t>
        </is>
      </c>
    </row>
    <row r="2">
      <c r="A2" s="6" t="inlineStr">
        <is>
          <t>2026-01-01</t>
        </is>
      </c>
      <c r="B2" s="7" t="inlineStr">
        <is>
          <t>성원</t>
        </is>
      </c>
      <c r="C2" s="8" t="n">
        <v>5040</v>
      </c>
      <c r="D2" s="9">
        <f>IF(C2="","",고정비설정!$B$3)</f>
        <v/>
      </c>
      <c r="E2" s="9">
        <f>IF(C2="","",C2*D2)</f>
        <v/>
      </c>
      <c r="F2" s="7" t="n"/>
      <c r="G2" s="7" t="n"/>
      <c r="H2" s="8" t="n"/>
      <c r="I2" s="8" t="n">
        <v>800000</v>
      </c>
      <c r="J2" s="7" t="inlineStr">
        <is>
          <t>하이패스 월 충전</t>
        </is>
      </c>
    </row>
    <row r="3">
      <c r="A3" s="6" t="inlineStr">
        <is>
          <t>2026-01-01</t>
        </is>
      </c>
      <c r="B3" s="7" t="inlineStr">
        <is>
          <t>천금</t>
        </is>
      </c>
      <c r="C3" s="8" t="n">
        <v>5040</v>
      </c>
      <c r="D3" s="9">
        <f>IF(C3="","",고정비설정!$B$3)</f>
        <v/>
      </c>
      <c r="E3" s="9">
        <f>IF(C3="","",C3*D3)</f>
        <v/>
      </c>
      <c r="F3" s="7" t="inlineStr">
        <is>
          <t>유류비</t>
        </is>
      </c>
      <c r="G3" s="7" t="inlineStr">
        <is>
          <t>유류</t>
        </is>
      </c>
      <c r="H3" s="8" t="n">
        <v>200000</v>
      </c>
      <c r="I3" s="8" t="n"/>
      <c r="J3" s="7" t="inlineStr">
        <is>
          <t>예시 행 - 실제 입력 시 삭제/수정</t>
        </is>
      </c>
    </row>
    <row r="4">
      <c r="A4" s="6" t="inlineStr">
        <is>
          <t>2026-01-03</t>
        </is>
      </c>
      <c r="B4" s="7" t="inlineStr">
        <is>
          <t>천금</t>
        </is>
      </c>
      <c r="C4" s="8" t="n">
        <v>5040</v>
      </c>
      <c r="D4" s="9">
        <f>IF(C4="","",고정비설정!$B$3)</f>
        <v/>
      </c>
      <c r="E4" s="9">
        <f>IF(C4="","",C4*D4)</f>
        <v/>
      </c>
      <c r="F4" s="7" t="inlineStr">
        <is>
          <t>정비비</t>
        </is>
      </c>
      <c r="G4" s="7" t="inlineStr">
        <is>
          <t>엔진오일교환</t>
        </is>
      </c>
      <c r="H4" s="8" t="n">
        <v>294000</v>
      </c>
      <c r="I4" s="8" t="n"/>
      <c r="J4" s="7" t="inlineStr"/>
    </row>
    <row r="5">
      <c r="A5" s="6" t="inlineStr">
        <is>
          <t>2026-01-09</t>
        </is>
      </c>
      <c r="B5" s="7" t="n"/>
      <c r="C5" s="8" t="n"/>
      <c r="D5" s="9">
        <f>IF(C5="","",고정비설정!$B$3)</f>
        <v/>
      </c>
      <c r="E5" s="9">
        <f>IF(C5="","",C5*D5)</f>
        <v/>
      </c>
      <c r="F5" s="7" t="inlineStr">
        <is>
          <t>기타</t>
        </is>
      </c>
      <c r="G5" s="7" t="inlineStr">
        <is>
          <t>세차</t>
        </is>
      </c>
      <c r="H5" s="8" t="n">
        <v>30000</v>
      </c>
      <c r="I5" s="8" t="n"/>
      <c r="J5" s="7" t="inlineStr"/>
    </row>
    <row r="6">
      <c r="A6" s="6" t="inlineStr">
        <is>
          <t>2026-01-02</t>
        </is>
      </c>
      <c r="B6" s="7" t="inlineStr">
        <is>
          <t>상문</t>
        </is>
      </c>
      <c r="C6" s="8" t="n">
        <v>5040</v>
      </c>
      <c r="D6" s="9">
        <f>IF(C6="","",고정비설정!$B$3)</f>
        <v/>
      </c>
      <c r="E6" s="9">
        <f>IF(C6="","",C6*D6)</f>
        <v/>
      </c>
      <c r="F6" s="7" t="n"/>
      <c r="G6" s="7" t="n"/>
      <c r="H6" s="8" t="n"/>
      <c r="I6" s="8" t="n"/>
      <c r="J6" s="7" t="inlineStr"/>
    </row>
    <row r="7">
      <c r="A7" s="10" t="n"/>
      <c r="B7" s="11" t="n"/>
      <c r="C7" s="12" t="n"/>
      <c r="D7" s="9">
        <f>IF(C7="","",고정비설정!$B$3)</f>
        <v/>
      </c>
      <c r="E7" s="9">
        <f>IF(C7="","",C7*D7)</f>
        <v/>
      </c>
      <c r="F7" s="11" t="n"/>
      <c r="G7" s="11" t="n"/>
      <c r="H7" s="12" t="n"/>
      <c r="I7" s="12" t="n"/>
      <c r="J7" s="11" t="n"/>
    </row>
    <row r="8">
      <c r="A8" s="10" t="n"/>
      <c r="B8" s="11" t="n"/>
      <c r="C8" s="12" t="n"/>
      <c r="D8" s="9">
        <f>IF(C8="","",고정비설정!$B$3)</f>
        <v/>
      </c>
      <c r="E8" s="9">
        <f>IF(C8="","",C8*D8)</f>
        <v/>
      </c>
      <c r="F8" s="11" t="n"/>
      <c r="G8" s="11" t="n"/>
      <c r="H8" s="12" t="n"/>
      <c r="I8" s="12" t="n"/>
      <c r="J8" s="11" t="n"/>
    </row>
    <row r="9">
      <c r="A9" s="10" t="n"/>
      <c r="B9" s="11" t="n"/>
      <c r="C9" s="12" t="n"/>
      <c r="D9" s="9">
        <f>IF(C9="","",고정비설정!$B$3)</f>
        <v/>
      </c>
      <c r="E9" s="9">
        <f>IF(C9="","",C9*D9)</f>
        <v/>
      </c>
      <c r="F9" s="11" t="n"/>
      <c r="G9" s="11" t="n"/>
      <c r="H9" s="12" t="n"/>
      <c r="I9" s="12" t="n"/>
      <c r="J9" s="11" t="n"/>
    </row>
    <row r="10">
      <c r="A10" s="10" t="n"/>
      <c r="B10" s="11" t="n"/>
      <c r="C10" s="12" t="n"/>
      <c r="D10" s="9">
        <f>IF(C10="","",고정비설정!$B$3)</f>
        <v/>
      </c>
      <c r="E10" s="9">
        <f>IF(C10="","",C10*D10)</f>
        <v/>
      </c>
      <c r="F10" s="11" t="n"/>
      <c r="G10" s="11" t="n"/>
      <c r="H10" s="12" t="n"/>
      <c r="I10" s="12" t="n"/>
      <c r="J10" s="11" t="n"/>
    </row>
    <row r="11">
      <c r="A11" s="10" t="n"/>
      <c r="B11" s="11" t="n"/>
      <c r="C11" s="12" t="n"/>
      <c r="D11" s="9">
        <f>IF(C11="","",고정비설정!$B$3)</f>
        <v/>
      </c>
      <c r="E11" s="9">
        <f>IF(C11="","",C11*D11)</f>
        <v/>
      </c>
      <c r="F11" s="11" t="n"/>
      <c r="G11" s="11" t="n"/>
      <c r="H11" s="12" t="n"/>
      <c r="I11" s="12" t="n"/>
      <c r="J11" s="11" t="n"/>
    </row>
    <row r="12">
      <c r="A12" s="10" t="n"/>
      <c r="B12" s="11" t="n"/>
      <c r="C12" s="12" t="n"/>
      <c r="D12" s="9">
        <f>IF(C12="","",고정비설정!$B$3)</f>
        <v/>
      </c>
      <c r="E12" s="9">
        <f>IF(C12="","",C12*D12)</f>
        <v/>
      </c>
      <c r="F12" s="11" t="n"/>
      <c r="G12" s="11" t="n"/>
      <c r="H12" s="12" t="n"/>
      <c r="I12" s="12" t="n"/>
      <c r="J12" s="11" t="n"/>
    </row>
    <row r="13">
      <c r="A13" s="10" t="n"/>
      <c r="B13" s="11" t="n"/>
      <c r="C13" s="12" t="n"/>
      <c r="D13" s="9">
        <f>IF(C13="","",고정비설정!$B$3)</f>
        <v/>
      </c>
      <c r="E13" s="9">
        <f>IF(C13="","",C13*D13)</f>
        <v/>
      </c>
      <c r="F13" s="11" t="n"/>
      <c r="G13" s="11" t="n"/>
      <c r="H13" s="12" t="n"/>
      <c r="I13" s="12" t="n"/>
      <c r="J13" s="11" t="n"/>
    </row>
    <row r="14">
      <c r="A14" s="10" t="n"/>
      <c r="B14" s="11" t="n"/>
      <c r="C14" s="12" t="n"/>
      <c r="D14" s="9">
        <f>IF(C14="","",고정비설정!$B$3)</f>
        <v/>
      </c>
      <c r="E14" s="9">
        <f>IF(C14="","",C14*D14)</f>
        <v/>
      </c>
      <c r="F14" s="11" t="n"/>
      <c r="G14" s="11" t="n"/>
      <c r="H14" s="12" t="n"/>
      <c r="I14" s="12" t="n"/>
      <c r="J14" s="11" t="n"/>
    </row>
    <row r="15">
      <c r="A15" s="10" t="n"/>
      <c r="B15" s="11" t="n"/>
      <c r="C15" s="12" t="n"/>
      <c r="D15" s="9">
        <f>IF(C15="","",고정비설정!$B$3)</f>
        <v/>
      </c>
      <c r="E15" s="9">
        <f>IF(C15="","",C15*D15)</f>
        <v/>
      </c>
      <c r="F15" s="11" t="n"/>
      <c r="G15" s="11" t="n"/>
      <c r="H15" s="12" t="n"/>
      <c r="I15" s="12" t="n"/>
      <c r="J15" s="11" t="n"/>
    </row>
    <row r="16">
      <c r="A16" s="10" t="n"/>
      <c r="B16" s="11" t="n"/>
      <c r="C16" s="12" t="n"/>
      <c r="D16" s="9">
        <f>IF(C16="","",고정비설정!$B$3)</f>
        <v/>
      </c>
      <c r="E16" s="9">
        <f>IF(C16="","",C16*D16)</f>
        <v/>
      </c>
      <c r="F16" s="11" t="n"/>
      <c r="G16" s="11" t="n"/>
      <c r="H16" s="12" t="n"/>
      <c r="I16" s="12" t="n"/>
      <c r="J16" s="11" t="n"/>
    </row>
    <row r="17">
      <c r="A17" s="10" t="n"/>
      <c r="B17" s="11" t="n"/>
      <c r="C17" s="12" t="n"/>
      <c r="D17" s="9">
        <f>IF(C17="","",고정비설정!$B$3)</f>
        <v/>
      </c>
      <c r="E17" s="9">
        <f>IF(C17="","",C17*D17)</f>
        <v/>
      </c>
      <c r="F17" s="11" t="n"/>
      <c r="G17" s="11" t="n"/>
      <c r="H17" s="12" t="n"/>
      <c r="I17" s="12" t="n"/>
      <c r="J17" s="11" t="n"/>
    </row>
    <row r="18">
      <c r="A18" s="10" t="n"/>
      <c r="B18" s="11" t="n"/>
      <c r="C18" s="12" t="n"/>
      <c r="D18" s="9">
        <f>IF(C18="","",고정비설정!$B$3)</f>
        <v/>
      </c>
      <c r="E18" s="9">
        <f>IF(C18="","",C18*D18)</f>
        <v/>
      </c>
      <c r="F18" s="11" t="n"/>
      <c r="G18" s="11" t="n"/>
      <c r="H18" s="12" t="n"/>
      <c r="I18" s="12" t="n"/>
      <c r="J18" s="11" t="n"/>
    </row>
    <row r="19">
      <c r="A19" s="10" t="n"/>
      <c r="B19" s="11" t="n"/>
      <c r="C19" s="12" t="n"/>
      <c r="D19" s="9">
        <f>IF(C19="","",고정비설정!$B$3)</f>
        <v/>
      </c>
      <c r="E19" s="9">
        <f>IF(C19="","",C19*D19)</f>
        <v/>
      </c>
      <c r="F19" s="11" t="n"/>
      <c r="G19" s="11" t="n"/>
      <c r="H19" s="12" t="n"/>
      <c r="I19" s="12" t="n"/>
      <c r="J19" s="11" t="n"/>
    </row>
    <row r="20">
      <c r="A20" s="10" t="n"/>
      <c r="B20" s="11" t="n"/>
      <c r="C20" s="12" t="n"/>
      <c r="D20" s="9">
        <f>IF(C20="","",고정비설정!$B$3)</f>
        <v/>
      </c>
      <c r="E20" s="9">
        <f>IF(C20="","",C20*D20)</f>
        <v/>
      </c>
      <c r="F20" s="11" t="n"/>
      <c r="G20" s="11" t="n"/>
      <c r="H20" s="12" t="n"/>
      <c r="I20" s="12" t="n"/>
      <c r="J20" s="11" t="n"/>
    </row>
    <row r="21">
      <c r="A21" s="10" t="n"/>
      <c r="B21" s="11" t="n"/>
      <c r="C21" s="12" t="n"/>
      <c r="D21" s="9">
        <f>IF(C21="","",고정비설정!$B$3)</f>
        <v/>
      </c>
      <c r="E21" s="9">
        <f>IF(C21="","",C21*D21)</f>
        <v/>
      </c>
      <c r="F21" s="11" t="n"/>
      <c r="G21" s="11" t="n"/>
      <c r="H21" s="12" t="n"/>
      <c r="I21" s="12" t="n"/>
      <c r="J21" s="11" t="n"/>
    </row>
    <row r="22">
      <c r="A22" s="10" t="n"/>
      <c r="B22" s="11" t="n"/>
      <c r="C22" s="12" t="n"/>
      <c r="D22" s="9">
        <f>IF(C22="","",고정비설정!$B$3)</f>
        <v/>
      </c>
      <c r="E22" s="9">
        <f>IF(C22="","",C22*D22)</f>
        <v/>
      </c>
      <c r="F22" s="11" t="n"/>
      <c r="G22" s="11" t="n"/>
      <c r="H22" s="12" t="n"/>
      <c r="I22" s="12" t="n"/>
      <c r="J22" s="11" t="n"/>
    </row>
    <row r="23">
      <c r="A23" s="10" t="n"/>
      <c r="B23" s="11" t="n"/>
      <c r="C23" s="12" t="n"/>
      <c r="D23" s="9">
        <f>IF(C23="","",고정비설정!$B$3)</f>
        <v/>
      </c>
      <c r="E23" s="9">
        <f>IF(C23="","",C23*D23)</f>
        <v/>
      </c>
      <c r="F23" s="11" t="n"/>
      <c r="G23" s="11" t="n"/>
      <c r="H23" s="12" t="n"/>
      <c r="I23" s="12" t="n"/>
      <c r="J23" s="11" t="n"/>
    </row>
    <row r="24">
      <c r="A24" s="10" t="n"/>
      <c r="B24" s="11" t="n"/>
      <c r="C24" s="12" t="n"/>
      <c r="D24" s="9">
        <f>IF(C24="","",고정비설정!$B$3)</f>
        <v/>
      </c>
      <c r="E24" s="9">
        <f>IF(C24="","",C24*D24)</f>
        <v/>
      </c>
      <c r="F24" s="11" t="n"/>
      <c r="G24" s="11" t="n"/>
      <c r="H24" s="12" t="n"/>
      <c r="I24" s="12" t="n"/>
      <c r="J24" s="11" t="n"/>
    </row>
    <row r="25">
      <c r="A25" s="10" t="n"/>
      <c r="B25" s="11" t="n"/>
      <c r="C25" s="12" t="n"/>
      <c r="D25" s="9">
        <f>IF(C25="","",고정비설정!$B$3)</f>
        <v/>
      </c>
      <c r="E25" s="9">
        <f>IF(C25="","",C25*D25)</f>
        <v/>
      </c>
      <c r="F25" s="11" t="n"/>
      <c r="G25" s="11" t="n"/>
      <c r="H25" s="12" t="n"/>
      <c r="I25" s="12" t="n"/>
      <c r="J25" s="11" t="n"/>
    </row>
    <row r="26">
      <c r="A26" s="10" t="n"/>
      <c r="B26" s="11" t="n"/>
      <c r="C26" s="12" t="n"/>
      <c r="D26" s="9">
        <f>IF(C26="","",고정비설정!$B$3)</f>
        <v/>
      </c>
      <c r="E26" s="9">
        <f>IF(C26="","",C26*D26)</f>
        <v/>
      </c>
      <c r="F26" s="11" t="n"/>
      <c r="G26" s="11" t="n"/>
      <c r="H26" s="12" t="n"/>
      <c r="I26" s="12" t="n"/>
      <c r="J26" s="11" t="n"/>
    </row>
    <row r="27">
      <c r="A27" s="10" t="n"/>
      <c r="B27" s="11" t="n"/>
      <c r="C27" s="12" t="n"/>
      <c r="D27" s="9">
        <f>IF(C27="","",고정비설정!$B$3)</f>
        <v/>
      </c>
      <c r="E27" s="9">
        <f>IF(C27="","",C27*D27)</f>
        <v/>
      </c>
      <c r="F27" s="11" t="n"/>
      <c r="G27" s="11" t="n"/>
      <c r="H27" s="12" t="n"/>
      <c r="I27" s="12" t="n"/>
      <c r="J27" s="11" t="n"/>
    </row>
    <row r="28">
      <c r="A28" s="10" t="n"/>
      <c r="B28" s="11" t="n"/>
      <c r="C28" s="12" t="n"/>
      <c r="D28" s="9">
        <f>IF(C28="","",고정비설정!$B$3)</f>
        <v/>
      </c>
      <c r="E28" s="9">
        <f>IF(C28="","",C28*D28)</f>
        <v/>
      </c>
      <c r="F28" s="11" t="n"/>
      <c r="G28" s="11" t="n"/>
      <c r="H28" s="12" t="n"/>
      <c r="I28" s="12" t="n"/>
      <c r="J28" s="11" t="n"/>
    </row>
    <row r="29">
      <c r="A29" s="10" t="n"/>
      <c r="B29" s="11" t="n"/>
      <c r="C29" s="12" t="n"/>
      <c r="D29" s="9">
        <f>IF(C29="","",고정비설정!$B$3)</f>
        <v/>
      </c>
      <c r="E29" s="9">
        <f>IF(C29="","",C29*D29)</f>
        <v/>
      </c>
      <c r="F29" s="11" t="n"/>
      <c r="G29" s="11" t="n"/>
      <c r="H29" s="12" t="n"/>
      <c r="I29" s="12" t="n"/>
      <c r="J29" s="11" t="n"/>
    </row>
    <row r="30">
      <c r="A30" s="10" t="n"/>
      <c r="B30" s="11" t="n"/>
      <c r="C30" s="12" t="n"/>
      <c r="D30" s="9">
        <f>IF(C30="","",고정비설정!$B$3)</f>
        <v/>
      </c>
      <c r="E30" s="9">
        <f>IF(C30="","",C30*D30)</f>
        <v/>
      </c>
      <c r="F30" s="11" t="n"/>
      <c r="G30" s="11" t="n"/>
      <c r="H30" s="12" t="n"/>
      <c r="I30" s="12" t="n"/>
      <c r="J30" s="11" t="n"/>
    </row>
    <row r="31">
      <c r="A31" s="10" t="n"/>
      <c r="B31" s="11" t="n"/>
      <c r="C31" s="12" t="n"/>
      <c r="D31" s="9">
        <f>IF(C31="","",고정비설정!$B$3)</f>
        <v/>
      </c>
      <c r="E31" s="9">
        <f>IF(C31="","",C31*D31)</f>
        <v/>
      </c>
      <c r="F31" s="11" t="n"/>
      <c r="G31" s="11" t="n"/>
      <c r="H31" s="12" t="n"/>
      <c r="I31" s="12" t="n"/>
      <c r="J31" s="11" t="n"/>
    </row>
    <row r="32">
      <c r="A32" s="10" t="n"/>
      <c r="B32" s="11" t="n"/>
      <c r="C32" s="12" t="n"/>
      <c r="D32" s="9">
        <f>IF(C32="","",고정비설정!$B$3)</f>
        <v/>
      </c>
      <c r="E32" s="9">
        <f>IF(C32="","",C32*D32)</f>
        <v/>
      </c>
      <c r="F32" s="11" t="n"/>
      <c r="G32" s="11" t="n"/>
      <c r="H32" s="12" t="n"/>
      <c r="I32" s="12" t="n"/>
      <c r="J32" s="11" t="n"/>
    </row>
    <row r="33">
      <c r="A33" s="10" t="n"/>
      <c r="B33" s="11" t="n"/>
      <c r="C33" s="12" t="n"/>
      <c r="D33" s="9">
        <f>IF(C33="","",고정비설정!$B$3)</f>
        <v/>
      </c>
      <c r="E33" s="9">
        <f>IF(C33="","",C33*D33)</f>
        <v/>
      </c>
      <c r="F33" s="11" t="n"/>
      <c r="G33" s="11" t="n"/>
      <c r="H33" s="12" t="n"/>
      <c r="I33" s="12" t="n"/>
      <c r="J33" s="11" t="n"/>
    </row>
    <row r="34">
      <c r="A34" s="10" t="n"/>
      <c r="B34" s="11" t="n"/>
      <c r="C34" s="12" t="n"/>
      <c r="D34" s="9">
        <f>IF(C34="","",고정비설정!$B$3)</f>
        <v/>
      </c>
      <c r="E34" s="9">
        <f>IF(C34="","",C34*D34)</f>
        <v/>
      </c>
      <c r="F34" s="11" t="n"/>
      <c r="G34" s="11" t="n"/>
      <c r="H34" s="12" t="n"/>
      <c r="I34" s="12" t="n"/>
      <c r="J34" s="11" t="n"/>
    </row>
    <row r="35">
      <c r="A35" s="10" t="n"/>
      <c r="B35" s="11" t="n"/>
      <c r="C35" s="12" t="n"/>
      <c r="D35" s="9">
        <f>IF(C35="","",고정비설정!$B$3)</f>
        <v/>
      </c>
      <c r="E35" s="9">
        <f>IF(C35="","",C35*D35)</f>
        <v/>
      </c>
      <c r="F35" s="11" t="n"/>
      <c r="G35" s="11" t="n"/>
      <c r="H35" s="12" t="n"/>
      <c r="I35" s="12" t="n"/>
      <c r="J35" s="11" t="n"/>
    </row>
    <row r="36">
      <c r="A36" s="10" t="n"/>
      <c r="B36" s="11" t="n"/>
      <c r="C36" s="12" t="n"/>
      <c r="D36" s="9">
        <f>IF(C36="","",고정비설정!$B$3)</f>
        <v/>
      </c>
      <c r="E36" s="9">
        <f>IF(C36="","",C36*D36)</f>
        <v/>
      </c>
      <c r="F36" s="11" t="n"/>
      <c r="G36" s="11" t="n"/>
      <c r="H36" s="12" t="n"/>
      <c r="I36" s="12" t="n"/>
      <c r="J36" s="11" t="n"/>
    </row>
    <row r="37">
      <c r="A37" s="10" t="n"/>
      <c r="B37" s="11" t="n"/>
      <c r="C37" s="12" t="n"/>
      <c r="D37" s="9">
        <f>IF(C37="","",고정비설정!$B$3)</f>
        <v/>
      </c>
      <c r="E37" s="9">
        <f>IF(C37="","",C37*D37)</f>
        <v/>
      </c>
      <c r="F37" s="11" t="n"/>
      <c r="G37" s="11" t="n"/>
      <c r="H37" s="12" t="n"/>
      <c r="I37" s="12" t="n"/>
      <c r="J37" s="11" t="n"/>
    </row>
    <row r="38">
      <c r="A38" s="10" t="n"/>
      <c r="B38" s="11" t="n"/>
      <c r="C38" s="12" t="n"/>
      <c r="D38" s="9">
        <f>IF(C38="","",고정비설정!$B$3)</f>
        <v/>
      </c>
      <c r="E38" s="9">
        <f>IF(C38="","",C38*D38)</f>
        <v/>
      </c>
      <c r="F38" s="11" t="n"/>
      <c r="G38" s="11" t="n"/>
      <c r="H38" s="12" t="n"/>
      <c r="I38" s="12" t="n"/>
      <c r="J38" s="11" t="n"/>
    </row>
    <row r="39">
      <c r="A39" s="10" t="n"/>
      <c r="B39" s="11" t="n"/>
      <c r="C39" s="12" t="n"/>
      <c r="D39" s="9">
        <f>IF(C39="","",고정비설정!$B$3)</f>
        <v/>
      </c>
      <c r="E39" s="9">
        <f>IF(C39="","",C39*D39)</f>
        <v/>
      </c>
      <c r="F39" s="11" t="n"/>
      <c r="G39" s="11" t="n"/>
      <c r="H39" s="12" t="n"/>
      <c r="I39" s="12" t="n"/>
      <c r="J39" s="11" t="n"/>
    </row>
    <row r="40">
      <c r="A40" s="10" t="n"/>
      <c r="B40" s="11" t="n"/>
      <c r="C40" s="12" t="n"/>
      <c r="D40" s="9">
        <f>IF(C40="","",고정비설정!$B$3)</f>
        <v/>
      </c>
      <c r="E40" s="9">
        <f>IF(C40="","",C40*D40)</f>
        <v/>
      </c>
      <c r="F40" s="11" t="n"/>
      <c r="G40" s="11" t="n"/>
      <c r="H40" s="12" t="n"/>
      <c r="I40" s="12" t="n"/>
      <c r="J40" s="11" t="n"/>
    </row>
    <row r="41">
      <c r="A41" s="10" t="n"/>
      <c r="B41" s="11" t="n"/>
      <c r="C41" s="12" t="n"/>
      <c r="D41" s="9">
        <f>IF(C41="","",고정비설정!$B$3)</f>
        <v/>
      </c>
      <c r="E41" s="9">
        <f>IF(C41="","",C41*D41)</f>
        <v/>
      </c>
      <c r="F41" s="11" t="n"/>
      <c r="G41" s="11" t="n"/>
      <c r="H41" s="12" t="n"/>
      <c r="I41" s="12" t="n"/>
      <c r="J41" s="11" t="n"/>
    </row>
    <row r="42">
      <c r="A42" s="10" t="n"/>
      <c r="B42" s="11" t="n"/>
      <c r="C42" s="12" t="n"/>
      <c r="D42" s="9">
        <f>IF(C42="","",고정비설정!$B$3)</f>
        <v/>
      </c>
      <c r="E42" s="9">
        <f>IF(C42="","",C42*D42)</f>
        <v/>
      </c>
      <c r="F42" s="11" t="n"/>
      <c r="G42" s="11" t="n"/>
      <c r="H42" s="12" t="n"/>
      <c r="I42" s="12" t="n"/>
      <c r="J42" s="11" t="n"/>
    </row>
    <row r="43">
      <c r="A43" s="10" t="n"/>
      <c r="B43" s="11" t="n"/>
      <c r="C43" s="12" t="n"/>
      <c r="D43" s="9">
        <f>IF(C43="","",고정비설정!$B$3)</f>
        <v/>
      </c>
      <c r="E43" s="9">
        <f>IF(C43="","",C43*D43)</f>
        <v/>
      </c>
      <c r="F43" s="11" t="n"/>
      <c r="G43" s="11" t="n"/>
      <c r="H43" s="12" t="n"/>
      <c r="I43" s="12" t="n"/>
      <c r="J43" s="11" t="n"/>
    </row>
    <row r="44">
      <c r="A44" s="10" t="n"/>
      <c r="B44" s="11" t="n"/>
      <c r="C44" s="12" t="n"/>
      <c r="D44" s="9">
        <f>IF(C44="","",고정비설정!$B$3)</f>
        <v/>
      </c>
      <c r="E44" s="9">
        <f>IF(C44="","",C44*D44)</f>
        <v/>
      </c>
      <c r="F44" s="11" t="n"/>
      <c r="G44" s="11" t="n"/>
      <c r="H44" s="12" t="n"/>
      <c r="I44" s="12" t="n"/>
      <c r="J44" s="11" t="n"/>
    </row>
    <row r="45">
      <c r="A45" s="10" t="n"/>
      <c r="B45" s="11" t="n"/>
      <c r="C45" s="12" t="n"/>
      <c r="D45" s="9">
        <f>IF(C45="","",고정비설정!$B$3)</f>
        <v/>
      </c>
      <c r="E45" s="9">
        <f>IF(C45="","",C45*D45)</f>
        <v/>
      </c>
      <c r="F45" s="11" t="n"/>
      <c r="G45" s="11" t="n"/>
      <c r="H45" s="12" t="n"/>
      <c r="I45" s="12" t="n"/>
      <c r="J45" s="11" t="n"/>
    </row>
    <row r="46">
      <c r="A46" s="10" t="n"/>
      <c r="B46" s="11" t="n"/>
      <c r="C46" s="12" t="n"/>
      <c r="D46" s="9">
        <f>IF(C46="","",고정비설정!$B$3)</f>
        <v/>
      </c>
      <c r="E46" s="9">
        <f>IF(C46="","",C46*D46)</f>
        <v/>
      </c>
      <c r="F46" s="11" t="n"/>
      <c r="G46" s="11" t="n"/>
      <c r="H46" s="12" t="n"/>
      <c r="I46" s="12" t="n"/>
      <c r="J46" s="11" t="n"/>
    </row>
    <row r="47">
      <c r="A47" s="10" t="n"/>
      <c r="B47" s="11" t="n"/>
      <c r="C47" s="12" t="n"/>
      <c r="D47" s="9">
        <f>IF(C47="","",고정비설정!$B$3)</f>
        <v/>
      </c>
      <c r="E47" s="9">
        <f>IF(C47="","",C47*D47)</f>
        <v/>
      </c>
      <c r="F47" s="11" t="n"/>
      <c r="G47" s="11" t="n"/>
      <c r="H47" s="12" t="n"/>
      <c r="I47" s="12" t="n"/>
      <c r="J47" s="11" t="n"/>
    </row>
    <row r="48">
      <c r="A48" s="10" t="n"/>
      <c r="B48" s="11" t="n"/>
      <c r="C48" s="12" t="n"/>
      <c r="D48" s="9">
        <f>IF(C48="","",고정비설정!$B$3)</f>
        <v/>
      </c>
      <c r="E48" s="9">
        <f>IF(C48="","",C48*D48)</f>
        <v/>
      </c>
      <c r="F48" s="11" t="n"/>
      <c r="G48" s="11" t="n"/>
      <c r="H48" s="12" t="n"/>
      <c r="I48" s="12" t="n"/>
      <c r="J48" s="11" t="n"/>
    </row>
    <row r="49">
      <c r="A49" s="10" t="n"/>
      <c r="B49" s="11" t="n"/>
      <c r="C49" s="12" t="n"/>
      <c r="D49" s="9">
        <f>IF(C49="","",고정비설정!$B$3)</f>
        <v/>
      </c>
      <c r="E49" s="9">
        <f>IF(C49="","",C49*D49)</f>
        <v/>
      </c>
      <c r="F49" s="11" t="n"/>
      <c r="G49" s="11" t="n"/>
      <c r="H49" s="12" t="n"/>
      <c r="I49" s="12" t="n"/>
      <c r="J49" s="11" t="n"/>
    </row>
    <row r="50">
      <c r="A50" s="10" t="n"/>
      <c r="B50" s="11" t="n"/>
      <c r="C50" s="12" t="n"/>
      <c r="D50" s="9">
        <f>IF(C50="","",고정비설정!$B$3)</f>
        <v/>
      </c>
      <c r="E50" s="9">
        <f>IF(C50="","",C50*D50)</f>
        <v/>
      </c>
      <c r="F50" s="11" t="n"/>
      <c r="G50" s="11" t="n"/>
      <c r="H50" s="12" t="n"/>
      <c r="I50" s="12" t="n"/>
      <c r="J50" s="11" t="n"/>
    </row>
    <row r="51">
      <c r="A51" s="10" t="n"/>
      <c r="B51" s="11" t="n"/>
      <c r="C51" s="12" t="n"/>
      <c r="D51" s="9">
        <f>IF(C51="","",고정비설정!$B$3)</f>
        <v/>
      </c>
      <c r="E51" s="9">
        <f>IF(C51="","",C51*D51)</f>
        <v/>
      </c>
      <c r="F51" s="11" t="n"/>
      <c r="G51" s="11" t="n"/>
      <c r="H51" s="12" t="n"/>
      <c r="I51" s="12" t="n"/>
      <c r="J51" s="11" t="n"/>
    </row>
    <row r="52">
      <c r="A52" s="10" t="n"/>
      <c r="B52" s="11" t="n"/>
      <c r="C52" s="12" t="n"/>
      <c r="D52" s="9">
        <f>IF(C52="","",고정비설정!$B$3)</f>
        <v/>
      </c>
      <c r="E52" s="9">
        <f>IF(C52="","",C52*D52)</f>
        <v/>
      </c>
      <c r="F52" s="11" t="n"/>
      <c r="G52" s="11" t="n"/>
      <c r="H52" s="12" t="n"/>
      <c r="I52" s="12" t="n"/>
      <c r="J52" s="11" t="n"/>
    </row>
    <row r="53">
      <c r="A53" s="10" t="n"/>
      <c r="B53" s="11" t="n"/>
      <c r="C53" s="12" t="n"/>
      <c r="D53" s="9">
        <f>IF(C53="","",고정비설정!$B$3)</f>
        <v/>
      </c>
      <c r="E53" s="9">
        <f>IF(C53="","",C53*D53)</f>
        <v/>
      </c>
      <c r="F53" s="11" t="n"/>
      <c r="G53" s="11" t="n"/>
      <c r="H53" s="12" t="n"/>
      <c r="I53" s="12" t="n"/>
      <c r="J53" s="11" t="n"/>
    </row>
    <row r="54">
      <c r="A54" s="10" t="n"/>
      <c r="B54" s="11" t="n"/>
      <c r="C54" s="12" t="n"/>
      <c r="D54" s="9">
        <f>IF(C54="","",고정비설정!$B$3)</f>
        <v/>
      </c>
      <c r="E54" s="9">
        <f>IF(C54="","",C54*D54)</f>
        <v/>
      </c>
      <c r="F54" s="11" t="n"/>
      <c r="G54" s="11" t="n"/>
      <c r="H54" s="12" t="n"/>
      <c r="I54" s="12" t="n"/>
      <c r="J54" s="11" t="n"/>
    </row>
    <row r="55">
      <c r="A55" s="10" t="n"/>
      <c r="B55" s="11" t="n"/>
      <c r="C55" s="12" t="n"/>
      <c r="D55" s="9">
        <f>IF(C55="","",고정비설정!$B$3)</f>
        <v/>
      </c>
      <c r="E55" s="9">
        <f>IF(C55="","",C55*D55)</f>
        <v/>
      </c>
      <c r="F55" s="11" t="n"/>
      <c r="G55" s="11" t="n"/>
      <c r="H55" s="12" t="n"/>
      <c r="I55" s="12" t="n"/>
      <c r="J55" s="11" t="n"/>
    </row>
    <row r="56">
      <c r="A56" s="10" t="n"/>
      <c r="B56" s="11" t="n"/>
      <c r="C56" s="12" t="n"/>
      <c r="D56" s="9">
        <f>IF(C56="","",고정비설정!$B$3)</f>
        <v/>
      </c>
      <c r="E56" s="9">
        <f>IF(C56="","",C56*D56)</f>
        <v/>
      </c>
      <c r="F56" s="11" t="n"/>
      <c r="G56" s="11" t="n"/>
      <c r="H56" s="12" t="n"/>
      <c r="I56" s="12" t="n"/>
      <c r="J56" s="11" t="n"/>
    </row>
    <row r="57">
      <c r="A57" s="10" t="n"/>
      <c r="B57" s="11" t="n"/>
      <c r="C57" s="12" t="n"/>
      <c r="D57" s="9">
        <f>IF(C57="","",고정비설정!$B$3)</f>
        <v/>
      </c>
      <c r="E57" s="9">
        <f>IF(C57="","",C57*D57)</f>
        <v/>
      </c>
      <c r="F57" s="11" t="n"/>
      <c r="G57" s="11" t="n"/>
      <c r="H57" s="12" t="n"/>
      <c r="I57" s="12" t="n"/>
      <c r="J57" s="11" t="n"/>
    </row>
    <row r="58">
      <c r="A58" s="10" t="n"/>
      <c r="B58" s="11" t="n"/>
      <c r="C58" s="12" t="n"/>
      <c r="D58" s="9">
        <f>IF(C58="","",고정비설정!$B$3)</f>
        <v/>
      </c>
      <c r="E58" s="9">
        <f>IF(C58="","",C58*D58)</f>
        <v/>
      </c>
      <c r="F58" s="11" t="n"/>
      <c r="G58" s="11" t="n"/>
      <c r="H58" s="12" t="n"/>
      <c r="I58" s="12" t="n"/>
      <c r="J58" s="11" t="n"/>
    </row>
    <row r="59">
      <c r="A59" s="10" t="n"/>
      <c r="B59" s="11" t="n"/>
      <c r="C59" s="12" t="n"/>
      <c r="D59" s="9">
        <f>IF(C59="","",고정비설정!$B$3)</f>
        <v/>
      </c>
      <c r="E59" s="9">
        <f>IF(C59="","",C59*D59)</f>
        <v/>
      </c>
      <c r="F59" s="11" t="n"/>
      <c r="G59" s="11" t="n"/>
      <c r="H59" s="12" t="n"/>
      <c r="I59" s="12" t="n"/>
      <c r="J59" s="11" t="n"/>
    </row>
    <row r="60">
      <c r="A60" s="10" t="n"/>
      <c r="B60" s="11" t="n"/>
      <c r="C60" s="12" t="n"/>
      <c r="D60" s="9">
        <f>IF(C60="","",고정비설정!$B$3)</f>
        <v/>
      </c>
      <c r="E60" s="9">
        <f>IF(C60="","",C60*D60)</f>
        <v/>
      </c>
      <c r="F60" s="11" t="n"/>
      <c r="G60" s="11" t="n"/>
      <c r="H60" s="12" t="n"/>
      <c r="I60" s="12" t="n"/>
      <c r="J60" s="11" t="n"/>
    </row>
    <row r="61">
      <c r="A61" s="10" t="n"/>
      <c r="B61" s="11" t="n"/>
      <c r="C61" s="12" t="n"/>
      <c r="D61" s="9">
        <f>IF(C61="","",고정비설정!$B$3)</f>
        <v/>
      </c>
      <c r="E61" s="9">
        <f>IF(C61="","",C61*D61)</f>
        <v/>
      </c>
      <c r="F61" s="11" t="n"/>
      <c r="G61" s="11" t="n"/>
      <c r="H61" s="12" t="n"/>
      <c r="I61" s="12" t="n"/>
      <c r="J61" s="11" t="n"/>
    </row>
  </sheetData>
  <autoFilter ref="A1:J61"/>
  <dataValidations count="1">
    <dataValidation sqref="F2:F61" showDropDown="0" showInputMessage="0" showErrorMessage="0" allowBlank="1" type="list">
      <formula1>"유류비,정비비,기타"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>
      <c r="A1" s="2" t="inlineStr">
        <is>
          <t>기준연도</t>
        </is>
      </c>
      <c r="B1" s="13" t="n">
        <v>2026</v>
      </c>
      <c r="C1" s="4" t="inlineStr">
        <is>
          <t>← 이 연도만 바꾸면 아래 표 전체가 자동 갱신됩니다</t>
        </is>
      </c>
    </row>
    <row r="3" ht="22" customHeight="1">
      <c r="A3" s="5" t="inlineStr">
        <is>
          <t>월</t>
        </is>
      </c>
      <c r="B3" s="5" t="inlineStr">
        <is>
          <t>총판수</t>
        </is>
      </c>
      <c r="C3" s="5" t="inlineStr">
        <is>
          <t>매출액</t>
        </is>
      </c>
      <c r="D3" s="5" t="inlineStr">
        <is>
          <t>부가세(10%)</t>
        </is>
      </c>
      <c r="E3" s="5" t="inlineStr">
        <is>
          <t>유류비</t>
        </is>
      </c>
      <c r="F3" s="5" t="inlineStr">
        <is>
          <t>정비비</t>
        </is>
      </c>
      <c r="G3" s="5" t="inlineStr">
        <is>
          <t>기타비용</t>
        </is>
      </c>
      <c r="H3" s="5" t="inlineStr">
        <is>
          <t>하이패스</t>
        </is>
      </c>
      <c r="I3" s="5" t="inlineStr">
        <is>
          <t>기사월급</t>
        </is>
      </c>
      <c r="J3" s="5" t="inlineStr">
        <is>
          <t>차량보험</t>
        </is>
      </c>
      <c r="K3" s="5" t="inlineStr">
        <is>
          <t>총지출</t>
        </is>
      </c>
      <c r="L3" s="5" t="inlineStr">
        <is>
          <t>순이익</t>
        </is>
      </c>
      <c r="M3" s="5" t="inlineStr">
        <is>
          <t>이익률</t>
        </is>
      </c>
    </row>
    <row r="4">
      <c r="A4" s="14" t="n">
        <v>1</v>
      </c>
      <c r="B4" s="15">
        <f>SUMIFS(일일기록!$C:$C,일일기록!$A:$A,"&gt;="&amp;DATE($B$1,A4,1),일일기록!$A:$A,"&lt;"&amp;DATE($B$1,A4+1,1))</f>
        <v/>
      </c>
      <c r="C4" s="15">
        <f>SUMIFS(일일기록!$E:$E,일일기록!$A:$A,"&gt;="&amp;DATE($B$1,A4,1),일일기록!$A:$A,"&lt;"&amp;DATE($B$1,A4+1,1))</f>
        <v/>
      </c>
      <c r="D4" s="15">
        <f>C4*0.1</f>
        <v/>
      </c>
      <c r="E4" s="15">
        <f>SUMIFS(일일기록!$H:$H,일일기록!$F:$F,"유류비",일일기록!$A:$A,"&gt;="&amp;DATE($B$1,A4,1),일일기록!$A:$A,"&lt;"&amp;DATE($B$1,A4+1,1))</f>
        <v/>
      </c>
      <c r="F4" s="15">
        <f>SUMIFS(일일기록!$H:$H,일일기록!$F:$F,"정비비",일일기록!$A:$A,"&gt;="&amp;DATE($B$1,A4,1),일일기록!$A:$A,"&lt;"&amp;DATE($B$1,A4+1,1))</f>
        <v/>
      </c>
      <c r="G4" s="15">
        <f>SUMIFS(일일기록!$H:$H,일일기록!$F:$F,"기타",일일기록!$A:$A,"&gt;="&amp;DATE($B$1,A4,1),일일기록!$A:$A,"&lt;"&amp;DATE($B$1,A4+1,1))</f>
        <v/>
      </c>
      <c r="H4" s="15">
        <f>고정비설정!$B$5</f>
        <v/>
      </c>
      <c r="I4" s="15">
        <f>고정비설정!$B$4</f>
        <v/>
      </c>
      <c r="J4" s="15">
        <f>IF(A4=고정비설정!$B$7,고정비설정!$B$6,0)</f>
        <v/>
      </c>
      <c r="K4" s="15">
        <f>D4+E4+F4+G4+H4+I4+J4</f>
        <v/>
      </c>
      <c r="L4" s="15">
        <f>C4-K4</f>
        <v/>
      </c>
      <c r="M4" s="16">
        <f>IFERROR(L4/C4,0)</f>
        <v/>
      </c>
    </row>
    <row r="5">
      <c r="A5" s="14" t="n">
        <v>2</v>
      </c>
      <c r="B5" s="15">
        <f>SUMIFS(일일기록!$C:$C,일일기록!$A:$A,"&gt;="&amp;DATE($B$1,A5,1),일일기록!$A:$A,"&lt;"&amp;DATE($B$1,A5+1,1))</f>
        <v/>
      </c>
      <c r="C5" s="15">
        <f>SUMIFS(일일기록!$E:$E,일일기록!$A:$A,"&gt;="&amp;DATE($B$1,A5,1),일일기록!$A:$A,"&lt;"&amp;DATE($B$1,A5+1,1))</f>
        <v/>
      </c>
      <c r="D5" s="15">
        <f>C5*0.1</f>
        <v/>
      </c>
      <c r="E5" s="15">
        <f>SUMIFS(일일기록!$H:$H,일일기록!$F:$F,"유류비",일일기록!$A:$A,"&gt;="&amp;DATE($B$1,A5,1),일일기록!$A:$A,"&lt;"&amp;DATE($B$1,A5+1,1))</f>
        <v/>
      </c>
      <c r="F5" s="15">
        <f>SUMIFS(일일기록!$H:$H,일일기록!$F:$F,"정비비",일일기록!$A:$A,"&gt;="&amp;DATE($B$1,A5,1),일일기록!$A:$A,"&lt;"&amp;DATE($B$1,A5+1,1))</f>
        <v/>
      </c>
      <c r="G5" s="15">
        <f>SUMIFS(일일기록!$H:$H,일일기록!$F:$F,"기타",일일기록!$A:$A,"&gt;="&amp;DATE($B$1,A5,1),일일기록!$A:$A,"&lt;"&amp;DATE($B$1,A5+1,1))</f>
        <v/>
      </c>
      <c r="H5" s="15">
        <f>고정비설정!$B$5</f>
        <v/>
      </c>
      <c r="I5" s="15">
        <f>고정비설정!$B$4</f>
        <v/>
      </c>
      <c r="J5" s="15">
        <f>IF(A5=고정비설정!$B$7,고정비설정!$B$6,0)</f>
        <v/>
      </c>
      <c r="K5" s="15">
        <f>D5+E5+F5+G5+H5+I5+J5</f>
        <v/>
      </c>
      <c r="L5" s="15">
        <f>C5-K5</f>
        <v/>
      </c>
      <c r="M5" s="16">
        <f>IFERROR(L5/C5,0)</f>
        <v/>
      </c>
    </row>
    <row r="6">
      <c r="A6" s="14" t="n">
        <v>3</v>
      </c>
      <c r="B6" s="15">
        <f>SUMIFS(일일기록!$C:$C,일일기록!$A:$A,"&gt;="&amp;DATE($B$1,A6,1),일일기록!$A:$A,"&lt;"&amp;DATE($B$1,A6+1,1))</f>
        <v/>
      </c>
      <c r="C6" s="15">
        <f>SUMIFS(일일기록!$E:$E,일일기록!$A:$A,"&gt;="&amp;DATE($B$1,A6,1),일일기록!$A:$A,"&lt;"&amp;DATE($B$1,A6+1,1))</f>
        <v/>
      </c>
      <c r="D6" s="15">
        <f>C6*0.1</f>
        <v/>
      </c>
      <c r="E6" s="15">
        <f>SUMIFS(일일기록!$H:$H,일일기록!$F:$F,"유류비",일일기록!$A:$A,"&gt;="&amp;DATE($B$1,A6,1),일일기록!$A:$A,"&lt;"&amp;DATE($B$1,A6+1,1))</f>
        <v/>
      </c>
      <c r="F6" s="15">
        <f>SUMIFS(일일기록!$H:$H,일일기록!$F:$F,"정비비",일일기록!$A:$A,"&gt;="&amp;DATE($B$1,A6,1),일일기록!$A:$A,"&lt;"&amp;DATE($B$1,A6+1,1))</f>
        <v/>
      </c>
      <c r="G6" s="15">
        <f>SUMIFS(일일기록!$H:$H,일일기록!$F:$F,"기타",일일기록!$A:$A,"&gt;="&amp;DATE($B$1,A6,1),일일기록!$A:$A,"&lt;"&amp;DATE($B$1,A6+1,1))</f>
        <v/>
      </c>
      <c r="H6" s="15">
        <f>고정비설정!$B$5</f>
        <v/>
      </c>
      <c r="I6" s="15">
        <f>고정비설정!$B$4</f>
        <v/>
      </c>
      <c r="J6" s="15">
        <f>IF(A6=고정비설정!$B$7,고정비설정!$B$6,0)</f>
        <v/>
      </c>
      <c r="K6" s="15">
        <f>D6+E6+F6+G6+H6+I6+J6</f>
        <v/>
      </c>
      <c r="L6" s="15">
        <f>C6-K6</f>
        <v/>
      </c>
      <c r="M6" s="16">
        <f>IFERROR(L6/C6,0)</f>
        <v/>
      </c>
    </row>
    <row r="7">
      <c r="A7" s="14" t="n">
        <v>4</v>
      </c>
      <c r="B7" s="15">
        <f>SUMIFS(일일기록!$C:$C,일일기록!$A:$A,"&gt;="&amp;DATE($B$1,A7,1),일일기록!$A:$A,"&lt;"&amp;DATE($B$1,A7+1,1))</f>
        <v/>
      </c>
      <c r="C7" s="15">
        <f>SUMIFS(일일기록!$E:$E,일일기록!$A:$A,"&gt;="&amp;DATE($B$1,A7,1),일일기록!$A:$A,"&lt;"&amp;DATE($B$1,A7+1,1))</f>
        <v/>
      </c>
      <c r="D7" s="15">
        <f>C7*0.1</f>
        <v/>
      </c>
      <c r="E7" s="15">
        <f>SUMIFS(일일기록!$H:$H,일일기록!$F:$F,"유류비",일일기록!$A:$A,"&gt;="&amp;DATE($B$1,A7,1),일일기록!$A:$A,"&lt;"&amp;DATE($B$1,A7+1,1))</f>
        <v/>
      </c>
      <c r="F7" s="15">
        <f>SUMIFS(일일기록!$H:$H,일일기록!$F:$F,"정비비",일일기록!$A:$A,"&gt;="&amp;DATE($B$1,A7,1),일일기록!$A:$A,"&lt;"&amp;DATE($B$1,A7+1,1))</f>
        <v/>
      </c>
      <c r="G7" s="15">
        <f>SUMIFS(일일기록!$H:$H,일일기록!$F:$F,"기타",일일기록!$A:$A,"&gt;="&amp;DATE($B$1,A7,1),일일기록!$A:$A,"&lt;"&amp;DATE($B$1,A7+1,1))</f>
        <v/>
      </c>
      <c r="H7" s="15">
        <f>고정비설정!$B$5</f>
        <v/>
      </c>
      <c r="I7" s="15">
        <f>고정비설정!$B$4</f>
        <v/>
      </c>
      <c r="J7" s="15">
        <f>IF(A7=고정비설정!$B$7,고정비설정!$B$6,0)</f>
        <v/>
      </c>
      <c r="K7" s="15">
        <f>D7+E7+F7+G7+H7+I7+J7</f>
        <v/>
      </c>
      <c r="L7" s="15">
        <f>C7-K7</f>
        <v/>
      </c>
      <c r="M7" s="16">
        <f>IFERROR(L7/C7,0)</f>
        <v/>
      </c>
    </row>
    <row r="8">
      <c r="A8" s="14" t="n">
        <v>5</v>
      </c>
      <c r="B8" s="15">
        <f>SUMIFS(일일기록!$C:$C,일일기록!$A:$A,"&gt;="&amp;DATE($B$1,A8,1),일일기록!$A:$A,"&lt;"&amp;DATE($B$1,A8+1,1))</f>
        <v/>
      </c>
      <c r="C8" s="15">
        <f>SUMIFS(일일기록!$E:$E,일일기록!$A:$A,"&gt;="&amp;DATE($B$1,A8,1),일일기록!$A:$A,"&lt;"&amp;DATE($B$1,A8+1,1))</f>
        <v/>
      </c>
      <c r="D8" s="15">
        <f>C8*0.1</f>
        <v/>
      </c>
      <c r="E8" s="15">
        <f>SUMIFS(일일기록!$H:$H,일일기록!$F:$F,"유류비",일일기록!$A:$A,"&gt;="&amp;DATE($B$1,A8,1),일일기록!$A:$A,"&lt;"&amp;DATE($B$1,A8+1,1))</f>
        <v/>
      </c>
      <c r="F8" s="15">
        <f>SUMIFS(일일기록!$H:$H,일일기록!$F:$F,"정비비",일일기록!$A:$A,"&gt;="&amp;DATE($B$1,A8,1),일일기록!$A:$A,"&lt;"&amp;DATE($B$1,A8+1,1))</f>
        <v/>
      </c>
      <c r="G8" s="15">
        <f>SUMIFS(일일기록!$H:$H,일일기록!$F:$F,"기타",일일기록!$A:$A,"&gt;="&amp;DATE($B$1,A8,1),일일기록!$A:$A,"&lt;"&amp;DATE($B$1,A8+1,1))</f>
        <v/>
      </c>
      <c r="H8" s="15">
        <f>고정비설정!$B$5</f>
        <v/>
      </c>
      <c r="I8" s="15">
        <f>고정비설정!$B$4</f>
        <v/>
      </c>
      <c r="J8" s="15">
        <f>IF(A8=고정비설정!$B$7,고정비설정!$B$6,0)</f>
        <v/>
      </c>
      <c r="K8" s="15">
        <f>D8+E8+F8+G8+H8+I8+J8</f>
        <v/>
      </c>
      <c r="L8" s="15">
        <f>C8-K8</f>
        <v/>
      </c>
      <c r="M8" s="16">
        <f>IFERROR(L8/C8,0)</f>
        <v/>
      </c>
    </row>
    <row r="9">
      <c r="A9" s="14" t="n">
        <v>6</v>
      </c>
      <c r="B9" s="15">
        <f>SUMIFS(일일기록!$C:$C,일일기록!$A:$A,"&gt;="&amp;DATE($B$1,A9,1),일일기록!$A:$A,"&lt;"&amp;DATE($B$1,A9+1,1))</f>
        <v/>
      </c>
      <c r="C9" s="15">
        <f>SUMIFS(일일기록!$E:$E,일일기록!$A:$A,"&gt;="&amp;DATE($B$1,A9,1),일일기록!$A:$A,"&lt;"&amp;DATE($B$1,A9+1,1))</f>
        <v/>
      </c>
      <c r="D9" s="15">
        <f>C9*0.1</f>
        <v/>
      </c>
      <c r="E9" s="15">
        <f>SUMIFS(일일기록!$H:$H,일일기록!$F:$F,"유류비",일일기록!$A:$A,"&gt;="&amp;DATE($B$1,A9,1),일일기록!$A:$A,"&lt;"&amp;DATE($B$1,A9+1,1))</f>
        <v/>
      </c>
      <c r="F9" s="15">
        <f>SUMIFS(일일기록!$H:$H,일일기록!$F:$F,"정비비",일일기록!$A:$A,"&gt;="&amp;DATE($B$1,A9,1),일일기록!$A:$A,"&lt;"&amp;DATE($B$1,A9+1,1))</f>
        <v/>
      </c>
      <c r="G9" s="15">
        <f>SUMIFS(일일기록!$H:$H,일일기록!$F:$F,"기타",일일기록!$A:$A,"&gt;="&amp;DATE($B$1,A9,1),일일기록!$A:$A,"&lt;"&amp;DATE($B$1,A9+1,1))</f>
        <v/>
      </c>
      <c r="H9" s="15">
        <f>고정비설정!$B$5</f>
        <v/>
      </c>
      <c r="I9" s="15">
        <f>고정비설정!$B$4</f>
        <v/>
      </c>
      <c r="J9" s="15">
        <f>IF(A9=고정비설정!$B$7,고정비설정!$B$6,0)</f>
        <v/>
      </c>
      <c r="K9" s="15">
        <f>D9+E9+F9+G9+H9+I9+J9</f>
        <v/>
      </c>
      <c r="L9" s="15">
        <f>C9-K9</f>
        <v/>
      </c>
      <c r="M9" s="16">
        <f>IFERROR(L9/C9,0)</f>
        <v/>
      </c>
    </row>
    <row r="10">
      <c r="A10" s="14" t="n">
        <v>7</v>
      </c>
      <c r="B10" s="15">
        <f>SUMIFS(일일기록!$C:$C,일일기록!$A:$A,"&gt;="&amp;DATE($B$1,A10,1),일일기록!$A:$A,"&lt;"&amp;DATE($B$1,A10+1,1))</f>
        <v/>
      </c>
      <c r="C10" s="15">
        <f>SUMIFS(일일기록!$E:$E,일일기록!$A:$A,"&gt;="&amp;DATE($B$1,A10,1),일일기록!$A:$A,"&lt;"&amp;DATE($B$1,A10+1,1))</f>
        <v/>
      </c>
      <c r="D10" s="15">
        <f>C10*0.1</f>
        <v/>
      </c>
      <c r="E10" s="15">
        <f>SUMIFS(일일기록!$H:$H,일일기록!$F:$F,"유류비",일일기록!$A:$A,"&gt;="&amp;DATE($B$1,A10,1),일일기록!$A:$A,"&lt;"&amp;DATE($B$1,A10+1,1))</f>
        <v/>
      </c>
      <c r="F10" s="15">
        <f>SUMIFS(일일기록!$H:$H,일일기록!$F:$F,"정비비",일일기록!$A:$A,"&gt;="&amp;DATE($B$1,A10,1),일일기록!$A:$A,"&lt;"&amp;DATE($B$1,A10+1,1))</f>
        <v/>
      </c>
      <c r="G10" s="15">
        <f>SUMIFS(일일기록!$H:$H,일일기록!$F:$F,"기타",일일기록!$A:$A,"&gt;="&amp;DATE($B$1,A10,1),일일기록!$A:$A,"&lt;"&amp;DATE($B$1,A10+1,1))</f>
        <v/>
      </c>
      <c r="H10" s="15">
        <f>고정비설정!$B$5</f>
        <v/>
      </c>
      <c r="I10" s="15">
        <f>고정비설정!$B$4</f>
        <v/>
      </c>
      <c r="J10" s="15">
        <f>IF(A10=고정비설정!$B$7,고정비설정!$B$6,0)</f>
        <v/>
      </c>
      <c r="K10" s="15">
        <f>D10+E10+F10+G10+H10+I10+J10</f>
        <v/>
      </c>
      <c r="L10" s="15">
        <f>C10-K10</f>
        <v/>
      </c>
      <c r="M10" s="16">
        <f>IFERROR(L10/C10,0)</f>
        <v/>
      </c>
    </row>
    <row r="11">
      <c r="A11" s="14" t="n">
        <v>8</v>
      </c>
      <c r="B11" s="15">
        <f>SUMIFS(일일기록!$C:$C,일일기록!$A:$A,"&gt;="&amp;DATE($B$1,A11,1),일일기록!$A:$A,"&lt;"&amp;DATE($B$1,A11+1,1))</f>
        <v/>
      </c>
      <c r="C11" s="15">
        <f>SUMIFS(일일기록!$E:$E,일일기록!$A:$A,"&gt;="&amp;DATE($B$1,A11,1),일일기록!$A:$A,"&lt;"&amp;DATE($B$1,A11+1,1))</f>
        <v/>
      </c>
      <c r="D11" s="15">
        <f>C11*0.1</f>
        <v/>
      </c>
      <c r="E11" s="15">
        <f>SUMIFS(일일기록!$H:$H,일일기록!$F:$F,"유류비",일일기록!$A:$A,"&gt;="&amp;DATE($B$1,A11,1),일일기록!$A:$A,"&lt;"&amp;DATE($B$1,A11+1,1))</f>
        <v/>
      </c>
      <c r="F11" s="15">
        <f>SUMIFS(일일기록!$H:$H,일일기록!$F:$F,"정비비",일일기록!$A:$A,"&gt;="&amp;DATE($B$1,A11,1),일일기록!$A:$A,"&lt;"&amp;DATE($B$1,A11+1,1))</f>
        <v/>
      </c>
      <c r="G11" s="15">
        <f>SUMIFS(일일기록!$H:$H,일일기록!$F:$F,"기타",일일기록!$A:$A,"&gt;="&amp;DATE($B$1,A11,1),일일기록!$A:$A,"&lt;"&amp;DATE($B$1,A11+1,1))</f>
        <v/>
      </c>
      <c r="H11" s="15">
        <f>고정비설정!$B$5</f>
        <v/>
      </c>
      <c r="I11" s="15">
        <f>고정비설정!$B$4</f>
        <v/>
      </c>
      <c r="J11" s="15">
        <f>IF(A11=고정비설정!$B$7,고정비설정!$B$6,0)</f>
        <v/>
      </c>
      <c r="K11" s="15">
        <f>D11+E11+F11+G11+H11+I11+J11</f>
        <v/>
      </c>
      <c r="L11" s="15">
        <f>C11-K11</f>
        <v/>
      </c>
      <c r="M11" s="16">
        <f>IFERROR(L11/C11,0)</f>
        <v/>
      </c>
    </row>
    <row r="12">
      <c r="A12" s="14" t="n">
        <v>9</v>
      </c>
      <c r="B12" s="15">
        <f>SUMIFS(일일기록!$C:$C,일일기록!$A:$A,"&gt;="&amp;DATE($B$1,A12,1),일일기록!$A:$A,"&lt;"&amp;DATE($B$1,A12+1,1))</f>
        <v/>
      </c>
      <c r="C12" s="15">
        <f>SUMIFS(일일기록!$E:$E,일일기록!$A:$A,"&gt;="&amp;DATE($B$1,A12,1),일일기록!$A:$A,"&lt;"&amp;DATE($B$1,A12+1,1))</f>
        <v/>
      </c>
      <c r="D12" s="15">
        <f>C12*0.1</f>
        <v/>
      </c>
      <c r="E12" s="15">
        <f>SUMIFS(일일기록!$H:$H,일일기록!$F:$F,"유류비",일일기록!$A:$A,"&gt;="&amp;DATE($B$1,A12,1),일일기록!$A:$A,"&lt;"&amp;DATE($B$1,A12+1,1))</f>
        <v/>
      </c>
      <c r="F12" s="15">
        <f>SUMIFS(일일기록!$H:$H,일일기록!$F:$F,"정비비",일일기록!$A:$A,"&gt;="&amp;DATE($B$1,A12,1),일일기록!$A:$A,"&lt;"&amp;DATE($B$1,A12+1,1))</f>
        <v/>
      </c>
      <c r="G12" s="15">
        <f>SUMIFS(일일기록!$H:$H,일일기록!$F:$F,"기타",일일기록!$A:$A,"&gt;="&amp;DATE($B$1,A12,1),일일기록!$A:$A,"&lt;"&amp;DATE($B$1,A12+1,1))</f>
        <v/>
      </c>
      <c r="H12" s="15">
        <f>고정비설정!$B$5</f>
        <v/>
      </c>
      <c r="I12" s="15">
        <f>고정비설정!$B$4</f>
        <v/>
      </c>
      <c r="J12" s="15">
        <f>IF(A12=고정비설정!$B$7,고정비설정!$B$6,0)</f>
        <v/>
      </c>
      <c r="K12" s="15">
        <f>D12+E12+F12+G12+H12+I12+J12</f>
        <v/>
      </c>
      <c r="L12" s="15">
        <f>C12-K12</f>
        <v/>
      </c>
      <c r="M12" s="16">
        <f>IFERROR(L12/C12,0)</f>
        <v/>
      </c>
    </row>
    <row r="13">
      <c r="A13" s="14" t="n">
        <v>10</v>
      </c>
      <c r="B13" s="15">
        <f>SUMIFS(일일기록!$C:$C,일일기록!$A:$A,"&gt;="&amp;DATE($B$1,A13,1),일일기록!$A:$A,"&lt;"&amp;DATE($B$1,A13+1,1))</f>
        <v/>
      </c>
      <c r="C13" s="15">
        <f>SUMIFS(일일기록!$E:$E,일일기록!$A:$A,"&gt;="&amp;DATE($B$1,A13,1),일일기록!$A:$A,"&lt;"&amp;DATE($B$1,A13+1,1))</f>
        <v/>
      </c>
      <c r="D13" s="15">
        <f>C13*0.1</f>
        <v/>
      </c>
      <c r="E13" s="15">
        <f>SUMIFS(일일기록!$H:$H,일일기록!$F:$F,"유류비",일일기록!$A:$A,"&gt;="&amp;DATE($B$1,A13,1),일일기록!$A:$A,"&lt;"&amp;DATE($B$1,A13+1,1))</f>
        <v/>
      </c>
      <c r="F13" s="15">
        <f>SUMIFS(일일기록!$H:$H,일일기록!$F:$F,"정비비",일일기록!$A:$A,"&gt;="&amp;DATE($B$1,A13,1),일일기록!$A:$A,"&lt;"&amp;DATE($B$1,A13+1,1))</f>
        <v/>
      </c>
      <c r="G13" s="15">
        <f>SUMIFS(일일기록!$H:$H,일일기록!$F:$F,"기타",일일기록!$A:$A,"&gt;="&amp;DATE($B$1,A13,1),일일기록!$A:$A,"&lt;"&amp;DATE($B$1,A13+1,1))</f>
        <v/>
      </c>
      <c r="H13" s="15">
        <f>고정비설정!$B$5</f>
        <v/>
      </c>
      <c r="I13" s="15">
        <f>고정비설정!$B$4</f>
        <v/>
      </c>
      <c r="J13" s="15">
        <f>IF(A13=고정비설정!$B$7,고정비설정!$B$6,0)</f>
        <v/>
      </c>
      <c r="K13" s="15">
        <f>D13+E13+F13+G13+H13+I13+J13</f>
        <v/>
      </c>
      <c r="L13" s="15">
        <f>C13-K13</f>
        <v/>
      </c>
      <c r="M13" s="16">
        <f>IFERROR(L13/C13,0)</f>
        <v/>
      </c>
    </row>
    <row r="14">
      <c r="A14" s="14" t="n">
        <v>11</v>
      </c>
      <c r="B14" s="15">
        <f>SUMIFS(일일기록!$C:$C,일일기록!$A:$A,"&gt;="&amp;DATE($B$1,A14,1),일일기록!$A:$A,"&lt;"&amp;DATE($B$1,A14+1,1))</f>
        <v/>
      </c>
      <c r="C14" s="15">
        <f>SUMIFS(일일기록!$E:$E,일일기록!$A:$A,"&gt;="&amp;DATE($B$1,A14,1),일일기록!$A:$A,"&lt;"&amp;DATE($B$1,A14+1,1))</f>
        <v/>
      </c>
      <c r="D14" s="15">
        <f>C14*0.1</f>
        <v/>
      </c>
      <c r="E14" s="15">
        <f>SUMIFS(일일기록!$H:$H,일일기록!$F:$F,"유류비",일일기록!$A:$A,"&gt;="&amp;DATE($B$1,A14,1),일일기록!$A:$A,"&lt;"&amp;DATE($B$1,A14+1,1))</f>
        <v/>
      </c>
      <c r="F14" s="15">
        <f>SUMIFS(일일기록!$H:$H,일일기록!$F:$F,"정비비",일일기록!$A:$A,"&gt;="&amp;DATE($B$1,A14,1),일일기록!$A:$A,"&lt;"&amp;DATE($B$1,A14+1,1))</f>
        <v/>
      </c>
      <c r="G14" s="15">
        <f>SUMIFS(일일기록!$H:$H,일일기록!$F:$F,"기타",일일기록!$A:$A,"&gt;="&amp;DATE($B$1,A14,1),일일기록!$A:$A,"&lt;"&amp;DATE($B$1,A14+1,1))</f>
        <v/>
      </c>
      <c r="H14" s="15">
        <f>고정비설정!$B$5</f>
        <v/>
      </c>
      <c r="I14" s="15">
        <f>고정비설정!$B$4</f>
        <v/>
      </c>
      <c r="J14" s="15">
        <f>IF(A14=고정비설정!$B$7,고정비설정!$B$6,0)</f>
        <v/>
      </c>
      <c r="K14" s="15">
        <f>D14+E14+F14+G14+H14+I14+J14</f>
        <v/>
      </c>
      <c r="L14" s="15">
        <f>C14-K14</f>
        <v/>
      </c>
      <c r="M14" s="16">
        <f>IFERROR(L14/C14,0)</f>
        <v/>
      </c>
    </row>
    <row r="15">
      <c r="A15" s="14" t="n">
        <v>12</v>
      </c>
      <c r="B15" s="15">
        <f>SUMIFS(일일기록!$C:$C,일일기록!$A:$A,"&gt;="&amp;DATE($B$1,A15,1),일일기록!$A:$A,"&lt;"&amp;DATE($B$1,A15+1,1))</f>
        <v/>
      </c>
      <c r="C15" s="15">
        <f>SUMIFS(일일기록!$E:$E,일일기록!$A:$A,"&gt;="&amp;DATE($B$1,A15,1),일일기록!$A:$A,"&lt;"&amp;DATE($B$1,A15+1,1))</f>
        <v/>
      </c>
      <c r="D15" s="15">
        <f>C15*0.1</f>
        <v/>
      </c>
      <c r="E15" s="15">
        <f>SUMIFS(일일기록!$H:$H,일일기록!$F:$F,"유류비",일일기록!$A:$A,"&gt;="&amp;DATE($B$1,A15,1),일일기록!$A:$A,"&lt;"&amp;DATE($B$1,A15+1,1))</f>
        <v/>
      </c>
      <c r="F15" s="15">
        <f>SUMIFS(일일기록!$H:$H,일일기록!$F:$F,"정비비",일일기록!$A:$A,"&gt;="&amp;DATE($B$1,A15,1),일일기록!$A:$A,"&lt;"&amp;DATE($B$1,A15+1,1))</f>
        <v/>
      </c>
      <c r="G15" s="15">
        <f>SUMIFS(일일기록!$H:$H,일일기록!$F:$F,"기타",일일기록!$A:$A,"&gt;="&amp;DATE($B$1,A15,1),일일기록!$A:$A,"&lt;"&amp;DATE($B$1,A15+1,1))</f>
        <v/>
      </c>
      <c r="H15" s="15">
        <f>고정비설정!$B$5</f>
        <v/>
      </c>
      <c r="I15" s="15">
        <f>고정비설정!$B$4</f>
        <v/>
      </c>
      <c r="J15" s="15">
        <f>IF(A15=고정비설정!$B$7,고정비설정!$B$6,0)</f>
        <v/>
      </c>
      <c r="K15" s="15">
        <f>D15+E15+F15+G15+H15+I15+J15</f>
        <v/>
      </c>
      <c r="L15" s="15">
        <f>C15-K15</f>
        <v/>
      </c>
      <c r="M15" s="16">
        <f>IFERROR(L15/C15,0)</f>
        <v/>
      </c>
    </row>
    <row r="16">
      <c r="A16" s="17" t="inlineStr">
        <is>
          <t>합계</t>
        </is>
      </c>
      <c r="B16" s="18" t="n"/>
      <c r="C16" s="19">
        <f>SUM(C4:C15)</f>
        <v/>
      </c>
      <c r="D16" s="19">
        <f>SUM(D4:D15)</f>
        <v/>
      </c>
      <c r="E16" s="19">
        <f>SUM(E4:E15)</f>
        <v/>
      </c>
      <c r="F16" s="19">
        <f>SUM(F4:F15)</f>
        <v/>
      </c>
      <c r="G16" s="19">
        <f>SUM(G4:G15)</f>
        <v/>
      </c>
      <c r="H16" s="19">
        <f>SUM(H4:H15)</f>
        <v/>
      </c>
      <c r="I16" s="19">
        <f>SUM(I4:I15)</f>
        <v/>
      </c>
      <c r="J16" s="19">
        <f>SUM(J4:J15)</f>
        <v/>
      </c>
      <c r="K16" s="19">
        <f>SUM(K4:K15)</f>
        <v/>
      </c>
      <c r="L16" s="19">
        <f>SUM(L4:L15)</f>
        <v/>
      </c>
      <c r="M16" s="20">
        <f>IFERROR(L16/C16,0)</f>
        <v/>
      </c>
    </row>
  </sheetData>
  <mergeCells count="1">
    <mergeCell ref="A16:B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 ht="22" customHeight="1">
      <c r="A1" s="5" t="inlineStr">
        <is>
          <t>연도</t>
        </is>
      </c>
      <c r="B1" s="5" t="inlineStr">
        <is>
          <t>총판수</t>
        </is>
      </c>
      <c r="C1" s="5" t="inlineStr">
        <is>
          <t>매출액</t>
        </is>
      </c>
      <c r="D1" s="5" t="inlineStr">
        <is>
          <t>부가세(10%)</t>
        </is>
      </c>
      <c r="E1" s="5" t="inlineStr">
        <is>
          <t>유류비</t>
        </is>
      </c>
      <c r="F1" s="5" t="inlineStr">
        <is>
          <t>정비비</t>
        </is>
      </c>
      <c r="G1" s="5" t="inlineStr">
        <is>
          <t>기타비용</t>
        </is>
      </c>
      <c r="H1" s="5" t="inlineStr">
        <is>
          <t>하이패스(연)</t>
        </is>
      </c>
      <c r="I1" s="5" t="inlineStr">
        <is>
          <t>기사월급(연)</t>
        </is>
      </c>
      <c r="J1" s="5" t="inlineStr">
        <is>
          <t>차량보험</t>
        </is>
      </c>
      <c r="K1" s="5" t="inlineStr">
        <is>
          <t>총지출</t>
        </is>
      </c>
      <c r="L1" s="5" t="inlineStr">
        <is>
          <t>순이익</t>
        </is>
      </c>
      <c r="M1" s="5" t="inlineStr">
        <is>
          <t>수익률</t>
        </is>
      </c>
    </row>
    <row r="2">
      <c r="A2" s="21" t="n">
        <v>2025</v>
      </c>
      <c r="B2" s="15">
        <f>SUMIFS(일일기록!$C:$C,일일기록!$A:$A,"&gt;="&amp;DATE($A2,1,1),일일기록!$A:$A,"&lt;"&amp;DATE($A2+1,1,1))</f>
        <v/>
      </c>
      <c r="C2" s="15">
        <f>SUMIFS(일일기록!$E:$E,일일기록!$A:$A,"&gt;="&amp;DATE($A2,1,1),일일기록!$A:$A,"&lt;"&amp;DATE($A2+1,1,1))</f>
        <v/>
      </c>
      <c r="D2" s="15">
        <f>C2*0.1</f>
        <v/>
      </c>
      <c r="E2" s="15">
        <f>SUMIFS(일일기록!$H:$H,일일기록!$F:$F,"유류비",일일기록!$A:$A,"&gt;="&amp;DATE($A2,1,1),일일기록!$A:$A,"&lt;"&amp;DATE($A2+1,1,1))</f>
        <v/>
      </c>
      <c r="F2" s="15">
        <f>SUMIFS(일일기록!$H:$H,일일기록!$F:$F,"정비비",일일기록!$A:$A,"&gt;="&amp;DATE($A2,1,1),일일기록!$A:$A,"&lt;"&amp;DATE($A2+1,1,1))</f>
        <v/>
      </c>
      <c r="G2" s="15">
        <f>SUMIFS(일일기록!$H:$H,일일기록!$F:$F,"기타",일일기록!$A:$A,"&gt;="&amp;DATE($A2,1,1),일일기록!$A:$A,"&lt;"&amp;DATE($A2+1,1,1))</f>
        <v/>
      </c>
      <c r="H2" s="15">
        <f>고정비설정!$B$5*12</f>
        <v/>
      </c>
      <c r="I2" s="15">
        <f>고정비설정!$B$4*12</f>
        <v/>
      </c>
      <c r="J2" s="15">
        <f>고정비설정!$B$6</f>
        <v/>
      </c>
      <c r="K2" s="15">
        <f>D2+E2+F2+G2+H2+I2+J2</f>
        <v/>
      </c>
      <c r="L2" s="15">
        <f>C2-K2</f>
        <v/>
      </c>
      <c r="M2" s="16">
        <f>IFERROR(L2/C2,0)</f>
        <v/>
      </c>
    </row>
    <row r="3">
      <c r="A3" s="21" t="n">
        <v>2026</v>
      </c>
      <c r="B3" s="15">
        <f>SUMIFS(일일기록!$C:$C,일일기록!$A:$A,"&gt;="&amp;DATE($A3,1,1),일일기록!$A:$A,"&lt;"&amp;DATE($A3+1,1,1))</f>
        <v/>
      </c>
      <c r="C3" s="15">
        <f>SUMIFS(일일기록!$E:$E,일일기록!$A:$A,"&gt;="&amp;DATE($A3,1,1),일일기록!$A:$A,"&lt;"&amp;DATE($A3+1,1,1))</f>
        <v/>
      </c>
      <c r="D3" s="15">
        <f>C3*0.1</f>
        <v/>
      </c>
      <c r="E3" s="15">
        <f>SUMIFS(일일기록!$H:$H,일일기록!$F:$F,"유류비",일일기록!$A:$A,"&gt;="&amp;DATE($A3,1,1),일일기록!$A:$A,"&lt;"&amp;DATE($A3+1,1,1))</f>
        <v/>
      </c>
      <c r="F3" s="15">
        <f>SUMIFS(일일기록!$H:$H,일일기록!$F:$F,"정비비",일일기록!$A:$A,"&gt;="&amp;DATE($A3,1,1),일일기록!$A:$A,"&lt;"&amp;DATE($A3+1,1,1))</f>
        <v/>
      </c>
      <c r="G3" s="15">
        <f>SUMIFS(일일기록!$H:$H,일일기록!$F:$F,"기타",일일기록!$A:$A,"&gt;="&amp;DATE($A3,1,1),일일기록!$A:$A,"&lt;"&amp;DATE($A3+1,1,1))</f>
        <v/>
      </c>
      <c r="H3" s="15">
        <f>고정비설정!$B$5*12</f>
        <v/>
      </c>
      <c r="I3" s="15">
        <f>고정비설정!$B$4*12</f>
        <v/>
      </c>
      <c r="J3" s="15">
        <f>고정비설정!$B$6</f>
        <v/>
      </c>
      <c r="K3" s="15">
        <f>D3+E3+F3+G3+H3+I3+J3</f>
        <v/>
      </c>
      <c r="L3" s="15">
        <f>C3-K3</f>
        <v/>
      </c>
      <c r="M3" s="16">
        <f>IFERROR(L3/C3,0)</f>
        <v/>
      </c>
    </row>
    <row r="4">
      <c r="A4" s="21" t="n">
        <v>2027</v>
      </c>
      <c r="B4" s="15">
        <f>SUMIFS(일일기록!$C:$C,일일기록!$A:$A,"&gt;="&amp;DATE($A4,1,1),일일기록!$A:$A,"&lt;"&amp;DATE($A4+1,1,1))</f>
        <v/>
      </c>
      <c r="C4" s="15">
        <f>SUMIFS(일일기록!$E:$E,일일기록!$A:$A,"&gt;="&amp;DATE($A4,1,1),일일기록!$A:$A,"&lt;"&amp;DATE($A4+1,1,1))</f>
        <v/>
      </c>
      <c r="D4" s="15">
        <f>C4*0.1</f>
        <v/>
      </c>
      <c r="E4" s="15">
        <f>SUMIFS(일일기록!$H:$H,일일기록!$F:$F,"유류비",일일기록!$A:$A,"&gt;="&amp;DATE($A4,1,1),일일기록!$A:$A,"&lt;"&amp;DATE($A4+1,1,1))</f>
        <v/>
      </c>
      <c r="F4" s="15">
        <f>SUMIFS(일일기록!$H:$H,일일기록!$F:$F,"정비비",일일기록!$A:$A,"&gt;="&amp;DATE($A4,1,1),일일기록!$A:$A,"&lt;"&amp;DATE($A4+1,1,1))</f>
        <v/>
      </c>
      <c r="G4" s="15">
        <f>SUMIFS(일일기록!$H:$H,일일기록!$F:$F,"기타",일일기록!$A:$A,"&gt;="&amp;DATE($A4,1,1),일일기록!$A:$A,"&lt;"&amp;DATE($A4+1,1,1))</f>
        <v/>
      </c>
      <c r="H4" s="15">
        <f>고정비설정!$B$5*12</f>
        <v/>
      </c>
      <c r="I4" s="15">
        <f>고정비설정!$B$4*12</f>
        <v/>
      </c>
      <c r="J4" s="15">
        <f>고정비설정!$B$6</f>
        <v/>
      </c>
      <c r="K4" s="15">
        <f>D4+E4+F4+G4+H4+I4+J4</f>
        <v/>
      </c>
      <c r="L4" s="15">
        <f>C4-K4</f>
        <v/>
      </c>
      <c r="M4" s="16">
        <f>IFERROR(L4/C4,0)</f>
        <v/>
      </c>
    </row>
    <row r="5">
      <c r="A5" s="21" t="n">
        <v>2028</v>
      </c>
      <c r="B5" s="15">
        <f>SUMIFS(일일기록!$C:$C,일일기록!$A:$A,"&gt;="&amp;DATE($A5,1,1),일일기록!$A:$A,"&lt;"&amp;DATE($A5+1,1,1))</f>
        <v/>
      </c>
      <c r="C5" s="15">
        <f>SUMIFS(일일기록!$E:$E,일일기록!$A:$A,"&gt;="&amp;DATE($A5,1,1),일일기록!$A:$A,"&lt;"&amp;DATE($A5+1,1,1))</f>
        <v/>
      </c>
      <c r="D5" s="15">
        <f>C5*0.1</f>
        <v/>
      </c>
      <c r="E5" s="15">
        <f>SUMIFS(일일기록!$H:$H,일일기록!$F:$F,"유류비",일일기록!$A:$A,"&gt;="&amp;DATE($A5,1,1),일일기록!$A:$A,"&lt;"&amp;DATE($A5+1,1,1))</f>
        <v/>
      </c>
      <c r="F5" s="15">
        <f>SUMIFS(일일기록!$H:$H,일일기록!$F:$F,"정비비",일일기록!$A:$A,"&gt;="&amp;DATE($A5,1,1),일일기록!$A:$A,"&lt;"&amp;DATE($A5+1,1,1))</f>
        <v/>
      </c>
      <c r="G5" s="15">
        <f>SUMIFS(일일기록!$H:$H,일일기록!$F:$F,"기타",일일기록!$A:$A,"&gt;="&amp;DATE($A5,1,1),일일기록!$A:$A,"&lt;"&amp;DATE($A5+1,1,1))</f>
        <v/>
      </c>
      <c r="H5" s="15">
        <f>고정비설정!$B$5*12</f>
        <v/>
      </c>
      <c r="I5" s="15">
        <f>고정비설정!$B$4*12</f>
        <v/>
      </c>
      <c r="J5" s="15">
        <f>고정비설정!$B$6</f>
        <v/>
      </c>
      <c r="K5" s="15">
        <f>D5+E5+F5+G5+H5+I5+J5</f>
        <v/>
      </c>
      <c r="L5" s="15">
        <f>C5-K5</f>
        <v/>
      </c>
      <c r="M5" s="16">
        <f>IFERROR(L5/C5,0)</f>
        <v/>
      </c>
    </row>
    <row r="6">
      <c r="A6" s="21" t="n">
        <v>2029</v>
      </c>
      <c r="B6" s="15">
        <f>SUMIFS(일일기록!$C:$C,일일기록!$A:$A,"&gt;="&amp;DATE($A6,1,1),일일기록!$A:$A,"&lt;"&amp;DATE($A6+1,1,1))</f>
        <v/>
      </c>
      <c r="C6" s="15">
        <f>SUMIFS(일일기록!$E:$E,일일기록!$A:$A,"&gt;="&amp;DATE($A6,1,1),일일기록!$A:$A,"&lt;"&amp;DATE($A6+1,1,1))</f>
        <v/>
      </c>
      <c r="D6" s="15">
        <f>C6*0.1</f>
        <v/>
      </c>
      <c r="E6" s="15">
        <f>SUMIFS(일일기록!$H:$H,일일기록!$F:$F,"유류비",일일기록!$A:$A,"&gt;="&amp;DATE($A6,1,1),일일기록!$A:$A,"&lt;"&amp;DATE($A6+1,1,1))</f>
        <v/>
      </c>
      <c r="F6" s="15">
        <f>SUMIFS(일일기록!$H:$H,일일기록!$F:$F,"정비비",일일기록!$A:$A,"&gt;="&amp;DATE($A6,1,1),일일기록!$A:$A,"&lt;"&amp;DATE($A6+1,1,1))</f>
        <v/>
      </c>
      <c r="G6" s="15">
        <f>SUMIFS(일일기록!$H:$H,일일기록!$F:$F,"기타",일일기록!$A:$A,"&gt;="&amp;DATE($A6,1,1),일일기록!$A:$A,"&lt;"&amp;DATE($A6+1,1,1))</f>
        <v/>
      </c>
      <c r="H6" s="15">
        <f>고정비설정!$B$5*12</f>
        <v/>
      </c>
      <c r="I6" s="15">
        <f>고정비설정!$B$4*12</f>
        <v/>
      </c>
      <c r="J6" s="15">
        <f>고정비설정!$B$6</f>
        <v/>
      </c>
      <c r="K6" s="15">
        <f>D6+E6+F6+G6+H6+I6+J6</f>
        <v/>
      </c>
      <c r="L6" s="15">
        <f>C6-K6</f>
        <v/>
      </c>
      <c r="M6" s="16">
        <f>IFERROR(L6/C6,0)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5톤 계란 운송차량 손익 관리 - 사용 안내</t>
        </is>
      </c>
    </row>
    <row r="3" ht="18" customHeight="1">
      <c r="A3" s="22" t="inlineStr">
        <is>
          <t>- 파란 글씨 셀만 입력하세요. 검은 글씨는 전부 자동 계산되는 수식이니 건드리지 마세요.</t>
        </is>
      </c>
    </row>
    <row r="4" ht="18" customHeight="1">
      <c r="A4" s="22" t="inlineStr">
        <is>
          <t>- ① '고정비설정' 시트: 단가(원/판), 기사월급, 하이패스, 차량보험료 등 거의 안 바뀌는 값을 한 번만 입력해두세요.</t>
        </is>
      </c>
    </row>
    <row r="5" ht="18" customHeight="1">
      <c r="A5" s="22" t="inlineStr">
        <is>
          <t>- ② '일일기록' 시트: 매일 운행/정비 후 날짜·농장·판수 또는 지출구분/지출내용/지출금액·하이패스만 입력하면 단가·매출액은 자동 계산됩니다.</t>
        </is>
      </c>
    </row>
    <row r="6" ht="18" customHeight="1">
      <c r="A6" s="22" t="inlineStr">
        <is>
          <t>-    - 배송 건: 날짜, 농장, 판수만 입력 (단가·매출액 자동)</t>
        </is>
      </c>
    </row>
    <row r="7" ht="18" customHeight="1">
      <c r="A7" s="22" t="inlineStr">
        <is>
          <t>-    - 지출 건(유류/정비/기타): 지출구분(드롭다운에서 유류비/정비비/기타 선택) + 지출내용(메모) + 지출금액 입력</t>
        </is>
      </c>
    </row>
    <row r="8" ht="18" customHeight="1">
      <c r="A8" s="22" t="inlineStr">
        <is>
          <t>-    - 특정 달의 정비내역만 보고 싶으면 헤더의 필터 버튼으로 날짜(월) + 지출구분을 필터링하세요.</t>
        </is>
      </c>
    </row>
    <row r="9" ht="18" customHeight="1">
      <c r="A9" s="22" t="inlineStr">
        <is>
          <t>- ③ '월별손익' 시트: 상단 노란색 '기준연도' 셀(B1)만 바꾸면 1~12월 매출·부가세·유류비·정비비·기타비용·순이익·이익률이 자동 집계됩니다.</t>
        </is>
      </c>
    </row>
    <row r="10" ht="18" customHeight="1">
      <c r="A10" s="22" t="inlineStr">
        <is>
          <t>- ④ '연도별수익률' 시트: '연도' 열에 연도를 추가로 입력하면(예: 2030) 해당 연도 손익과 수익률이 자동 계산됩니다.</t>
        </is>
      </c>
    </row>
    <row r="11" ht="18" customHeight="1">
      <c r="A11" s="22" t="inlineStr">
        <is>
          <t>- '일일기록' 시트는 60행까지 수식이 미리 채워져 있습니다. 데이터가 더 많으면 마지막 행의 D~E열 수식을 선택해 아래로 드래그(자동 채우기)하면 계속 늘어납니다.</t>
        </is>
      </c>
    </row>
    <row r="12" ht="18" customHeight="1">
      <c r="A12" s="22" t="inlineStr">
        <is>
          <t>- 날짜는 YYYY-MM-DD 형식으로 입력하세요 (예: 2026-01-15).</t>
        </is>
      </c>
    </row>
    <row r="13" ht="18" customHeight="1">
      <c r="A13" s="22" t="inlineStr">
        <is>
          <t>- 이익률/수익률 = 순이익 ÷ 매출액 으로 계산됩니다.</t>
        </is>
      </c>
    </row>
  </sheetData>
  <mergeCells count="12">
    <mergeCell ref="A11:F11"/>
    <mergeCell ref="A10:F10"/>
    <mergeCell ref="A13:F13"/>
    <mergeCell ref="A5:F5"/>
    <mergeCell ref="A9:F9"/>
    <mergeCell ref="A8:F8"/>
    <mergeCell ref="A6:F6"/>
    <mergeCell ref="A12:F12"/>
    <mergeCell ref="A4:F4"/>
    <mergeCell ref="A1:B1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2026-09-07T12:31:16Z</dcterms:created>
  <dcterms:modified xsi:type="dcterms:W3CDTF">2026-09-07T12:31:16Z</dcterms:modified>
</cp:coreProperties>
</file>